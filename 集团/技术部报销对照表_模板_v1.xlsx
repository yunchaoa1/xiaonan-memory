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对照表" sheetId="1" state="visible" r:id="rId1"/>
    <sheet xmlns:r="http://schemas.openxmlformats.org/officeDocument/2006/relationships"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  <font>
      <b val="1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3" fillId="3" borderId="1" pivotButton="0" quotePrefix="0" xfId="0"/>
    <xf numFmtId="0" fontId="0" fillId="3" borderId="1" pivotButton="0" quotePrefix="0" xfId="0"/>
    <xf numFmtId="4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3" customWidth="1" min="5" max="5"/>
    <col width="15" customWidth="1" min="6" max="6"/>
    <col width="10" customWidth="1" min="7" max="7"/>
    <col width="10" customWidth="1" min="8" max="8"/>
    <col width="24" customWidth="1" min="9" max="9"/>
    <col width="24" customWidth="1" min="10" max="10"/>
    <col width="28" customWidth="1" min="11" max="11"/>
    <col width="11" customWidth="1" min="12" max="12"/>
  </cols>
  <sheetData>
    <row r="1">
      <c r="A1" s="1" t="inlineStr">
        <is>
          <t>技术部报销对照表（发票 ＋ 付款凭证）  ·  同一个月填一张，月底前连同文件一起交</t>
        </is>
      </c>
    </row>
    <row r="2">
      <c r="A2" s="2" t="inlineStr">
        <is>
          <t>序号</t>
        </is>
      </c>
      <c r="B2" s="2" t="inlineStr">
        <is>
          <t>报销人</t>
        </is>
      </c>
      <c r="C2" s="2" t="inlineStr">
        <is>
          <t>支出用途（一句话）</t>
        </is>
      </c>
      <c r="D2" s="2" t="inlineStr">
        <is>
          <t>发票类型</t>
        </is>
      </c>
      <c r="E2" s="2" t="inlineStr">
        <is>
          <t>发票金额(元)</t>
        </is>
      </c>
      <c r="F2" s="2" t="inlineStr">
        <is>
          <t>付款凭证金额(元)</t>
        </is>
      </c>
      <c r="G2" s="2" t="inlineStr">
        <is>
          <t>差额</t>
        </is>
      </c>
      <c r="H2" s="2" t="inlineStr">
        <is>
          <t>是否一致</t>
        </is>
      </c>
      <c r="I2" s="2" t="inlineStr">
        <is>
          <t>发票文件（文件名）</t>
        </is>
      </c>
      <c r="J2" s="2" t="inlineStr">
        <is>
          <t>付款凭证文件（文件名）</t>
        </is>
      </c>
      <c r="K2" s="2" t="inlineStr">
        <is>
          <t>备注（差额原因/说明）</t>
        </is>
      </c>
      <c r="L2" s="2" t="inlineStr">
        <is>
          <t>所属月份</t>
        </is>
      </c>
    </row>
    <row r="3">
      <c r="A3" s="3" t="n">
        <v>1</v>
      </c>
      <c r="B3" s="3" t="inlineStr">
        <is>
          <t>（示例）何锦波</t>
        </is>
      </c>
      <c r="C3" s="3" t="inlineStr">
        <is>
          <t>MiniMax H3 模型 API 调用费 10 月</t>
        </is>
      </c>
      <c r="D3" s="3" t="inlineStr">
        <is>
          <t>电子普通发票</t>
        </is>
      </c>
      <c r="E3" s="4" t="n">
        <v>350</v>
      </c>
      <c r="F3" s="4" t="n">
        <v>350</v>
      </c>
      <c r="G3" s="4">
        <f>IF(AND(E3&lt;&gt;"",F3&lt;&gt;""),E3-F3,"")</f>
        <v/>
      </c>
      <c r="H3" s="3">
        <f>IF(G3="","",IF(ABS(G3)&lt;0.01,"一致","待核"))</f>
        <v/>
      </c>
      <c r="I3" s="3" t="inlineStr">
        <is>
          <t>H3_API_10月_小何.pdf</t>
        </is>
      </c>
      <c r="J3" s="3" t="inlineStr">
        <is>
          <t>付款截图_10月_小何.png</t>
        </is>
      </c>
      <c r="K3" s="3" t="inlineStr">
        <is>
          <t>按量付费，服务商后台导出账单</t>
        </is>
      </c>
      <c r="L3" s="3" t="inlineStr">
        <is>
          <t>2026-10</t>
        </is>
      </c>
    </row>
    <row r="4">
      <c r="A4" s="3" t="n">
        <v>2</v>
      </c>
      <c r="B4" s="3" t="inlineStr"/>
      <c r="C4" s="3" t="inlineStr"/>
      <c r="D4" s="3" t="inlineStr"/>
      <c r="E4" s="4" t="inlineStr"/>
      <c r="F4" s="4" t="inlineStr"/>
      <c r="G4" s="4">
        <f>IF(AND(E4&lt;&gt;"",F4&lt;&gt;""),E4-F4,"")</f>
        <v/>
      </c>
      <c r="H4" s="3">
        <f>IF(G4="","",IF(ABS(G4)&lt;0.01,"一致","待核"))</f>
        <v/>
      </c>
      <c r="I4" s="3" t="inlineStr"/>
      <c r="J4" s="3" t="inlineStr"/>
      <c r="K4" s="3" t="inlineStr"/>
      <c r="L4" s="3" t="inlineStr"/>
    </row>
    <row r="5">
      <c r="A5" s="3" t="n">
        <v>3</v>
      </c>
      <c r="B5" s="3" t="inlineStr"/>
      <c r="C5" s="3" t="inlineStr"/>
      <c r="D5" s="3" t="inlineStr"/>
      <c r="E5" s="4" t="inlineStr"/>
      <c r="F5" s="4" t="inlineStr"/>
      <c r="G5" s="4">
        <f>IF(AND(E5&lt;&gt;"",F5&lt;&gt;""),E5-F5,"")</f>
        <v/>
      </c>
      <c r="H5" s="3">
        <f>IF(G5="","",IF(ABS(G5)&lt;0.01,"一致","待核"))</f>
        <v/>
      </c>
      <c r="I5" s="3" t="inlineStr"/>
      <c r="J5" s="3" t="inlineStr"/>
      <c r="K5" s="3" t="inlineStr"/>
      <c r="L5" s="3" t="inlineStr"/>
    </row>
    <row r="6">
      <c r="A6" s="3" t="n">
        <v>4</v>
      </c>
      <c r="B6" s="3" t="inlineStr"/>
      <c r="C6" s="3" t="inlineStr"/>
      <c r="D6" s="3" t="inlineStr"/>
      <c r="E6" s="4" t="inlineStr"/>
      <c r="F6" s="4" t="inlineStr"/>
      <c r="G6" s="4">
        <f>IF(AND(E6&lt;&gt;"",F6&lt;&gt;""),E6-F6,"")</f>
        <v/>
      </c>
      <c r="H6" s="3">
        <f>IF(G6="","",IF(ABS(G6)&lt;0.01,"一致","待核"))</f>
        <v/>
      </c>
      <c r="I6" s="3" t="inlineStr"/>
      <c r="J6" s="3" t="inlineStr"/>
      <c r="K6" s="3" t="inlineStr"/>
      <c r="L6" s="3" t="inlineStr"/>
    </row>
    <row r="7">
      <c r="A7" s="3" t="n">
        <v>5</v>
      </c>
      <c r="B7" s="3" t="inlineStr"/>
      <c r="C7" s="3" t="inlineStr"/>
      <c r="D7" s="3" t="inlineStr"/>
      <c r="E7" s="4" t="inlineStr"/>
      <c r="F7" s="4" t="inlineStr"/>
      <c r="G7" s="4">
        <f>IF(AND(E7&lt;&gt;"",F7&lt;&gt;""),E7-F7,"")</f>
        <v/>
      </c>
      <c r="H7" s="3">
        <f>IF(G7="","",IF(ABS(G7)&lt;0.01,"一致","待核"))</f>
        <v/>
      </c>
      <c r="I7" s="3" t="inlineStr"/>
      <c r="J7" s="3" t="inlineStr"/>
      <c r="K7" s="3" t="inlineStr"/>
      <c r="L7" s="3" t="inlineStr"/>
    </row>
    <row r="8">
      <c r="A8" s="3" t="n">
        <v>6</v>
      </c>
      <c r="B8" s="3" t="inlineStr"/>
      <c r="C8" s="3" t="inlineStr"/>
      <c r="D8" s="3" t="inlineStr"/>
      <c r="E8" s="4" t="inlineStr"/>
      <c r="F8" s="4" t="inlineStr"/>
      <c r="G8" s="4">
        <f>IF(AND(E8&lt;&gt;"",F8&lt;&gt;""),E8-F8,"")</f>
        <v/>
      </c>
      <c r="H8" s="3">
        <f>IF(G8="","",IF(ABS(G8)&lt;0.01,"一致","待核"))</f>
        <v/>
      </c>
      <c r="I8" s="3" t="inlineStr"/>
      <c r="J8" s="3" t="inlineStr"/>
      <c r="K8" s="3" t="inlineStr"/>
      <c r="L8" s="3" t="inlineStr"/>
    </row>
    <row r="9">
      <c r="A9" s="3" t="n">
        <v>7</v>
      </c>
      <c r="B9" s="3" t="inlineStr"/>
      <c r="C9" s="3" t="inlineStr"/>
      <c r="D9" s="3" t="inlineStr"/>
      <c r="E9" s="4" t="inlineStr"/>
      <c r="F9" s="4" t="inlineStr"/>
      <c r="G9" s="4">
        <f>IF(AND(E9&lt;&gt;"",F9&lt;&gt;""),E9-F9,"")</f>
        <v/>
      </c>
      <c r="H9" s="3">
        <f>IF(G9="","",IF(ABS(G9)&lt;0.01,"一致","待核"))</f>
        <v/>
      </c>
      <c r="I9" s="3" t="inlineStr"/>
      <c r="J9" s="3" t="inlineStr"/>
      <c r="K9" s="3" t="inlineStr"/>
      <c r="L9" s="3" t="inlineStr"/>
    </row>
    <row r="10">
      <c r="A10" s="3" t="n">
        <v>8</v>
      </c>
      <c r="B10" s="3" t="inlineStr"/>
      <c r="C10" s="3" t="inlineStr"/>
      <c r="D10" s="3" t="inlineStr"/>
      <c r="E10" s="4" t="inlineStr"/>
      <c r="F10" s="4" t="inlineStr"/>
      <c r="G10" s="4">
        <f>IF(AND(E10&lt;&gt;"",F10&lt;&gt;""),E10-F10,"")</f>
        <v/>
      </c>
      <c r="H10" s="3">
        <f>IF(G10="","",IF(ABS(G10)&lt;0.01,"一致","待核"))</f>
        <v/>
      </c>
      <c r="I10" s="3" t="inlineStr"/>
      <c r="J10" s="3" t="inlineStr"/>
      <c r="K10" s="3" t="inlineStr"/>
      <c r="L10" s="3" t="inlineStr"/>
    </row>
    <row r="11">
      <c r="A11" s="3" t="n">
        <v>9</v>
      </c>
      <c r="B11" s="3" t="inlineStr"/>
      <c r="C11" s="3" t="inlineStr"/>
      <c r="D11" s="3" t="inlineStr"/>
      <c r="E11" s="4" t="inlineStr"/>
      <c r="F11" s="4" t="inlineStr"/>
      <c r="G11" s="4">
        <f>IF(AND(E11&lt;&gt;"",F11&lt;&gt;""),E11-F11,"")</f>
        <v/>
      </c>
      <c r="H11" s="3">
        <f>IF(G11="","",IF(ABS(G11)&lt;0.01,"一致","待核"))</f>
        <v/>
      </c>
      <c r="I11" s="3" t="inlineStr"/>
      <c r="J11" s="3" t="inlineStr"/>
      <c r="K11" s="3" t="inlineStr"/>
      <c r="L11" s="3" t="inlineStr"/>
    </row>
    <row r="12">
      <c r="A12" s="3" t="n">
        <v>10</v>
      </c>
      <c r="B12" s="3" t="inlineStr"/>
      <c r="C12" s="3" t="inlineStr"/>
      <c r="D12" s="3" t="inlineStr"/>
      <c r="E12" s="4" t="inlineStr"/>
      <c r="F12" s="4" t="inlineStr"/>
      <c r="G12" s="4">
        <f>IF(AND(E12&lt;&gt;"",F12&lt;&gt;""),E12-F12,"")</f>
        <v/>
      </c>
      <c r="H12" s="3">
        <f>IF(G12="","",IF(ABS(G12)&lt;0.01,"一致","待核"))</f>
        <v/>
      </c>
      <c r="I12" s="3" t="inlineStr"/>
      <c r="J12" s="3" t="inlineStr"/>
      <c r="K12" s="3" t="inlineStr"/>
      <c r="L12" s="3" t="inlineStr"/>
    </row>
    <row r="13">
      <c r="A13" s="3" t="n">
        <v>11</v>
      </c>
      <c r="B13" s="3" t="inlineStr"/>
      <c r="C13" s="3" t="inlineStr"/>
      <c r="D13" s="3" t="inlineStr"/>
      <c r="E13" s="4" t="inlineStr"/>
      <c r="F13" s="4" t="inlineStr"/>
      <c r="G13" s="4">
        <f>IF(AND(E13&lt;&gt;"",F13&lt;&gt;""),E13-F13,"")</f>
        <v/>
      </c>
      <c r="H13" s="3">
        <f>IF(G13="","",IF(ABS(G13)&lt;0.01,"一致","待核"))</f>
        <v/>
      </c>
      <c r="I13" s="3" t="inlineStr"/>
      <c r="J13" s="3" t="inlineStr"/>
      <c r="K13" s="3" t="inlineStr"/>
      <c r="L13" s="3" t="inlineStr"/>
    </row>
    <row r="14">
      <c r="A14" s="3" t="n">
        <v>12</v>
      </c>
      <c r="B14" s="3" t="inlineStr"/>
      <c r="C14" s="3" t="inlineStr"/>
      <c r="D14" s="3" t="inlineStr"/>
      <c r="E14" s="4" t="inlineStr"/>
      <c r="F14" s="4" t="inlineStr"/>
      <c r="G14" s="4">
        <f>IF(AND(E14&lt;&gt;"",F14&lt;&gt;""),E14-F14,"")</f>
        <v/>
      </c>
      <c r="H14" s="3">
        <f>IF(G14="","",IF(ABS(G14)&lt;0.01,"一致","待核"))</f>
        <v/>
      </c>
      <c r="I14" s="3" t="inlineStr"/>
      <c r="J14" s="3" t="inlineStr"/>
      <c r="K14" s="3" t="inlineStr"/>
      <c r="L14" s="3" t="inlineStr"/>
    </row>
    <row r="15">
      <c r="A15" s="3" t="n">
        <v>13</v>
      </c>
      <c r="B15" s="3" t="inlineStr"/>
      <c r="C15" s="3" t="inlineStr"/>
      <c r="D15" s="3" t="inlineStr"/>
      <c r="E15" s="4" t="inlineStr"/>
      <c r="F15" s="4" t="inlineStr"/>
      <c r="G15" s="4">
        <f>IF(AND(E15&lt;&gt;"",F15&lt;&gt;""),E15-F15,"")</f>
        <v/>
      </c>
      <c r="H15" s="3">
        <f>IF(G15="","",IF(ABS(G15)&lt;0.01,"一致","待核"))</f>
        <v/>
      </c>
      <c r="I15" s="3" t="inlineStr"/>
      <c r="J15" s="3" t="inlineStr"/>
      <c r="K15" s="3" t="inlineStr"/>
      <c r="L15" s="3" t="inlineStr"/>
    </row>
    <row r="16">
      <c r="A16" s="3" t="n">
        <v>14</v>
      </c>
      <c r="B16" s="3" t="inlineStr"/>
      <c r="C16" s="3" t="inlineStr"/>
      <c r="D16" s="3" t="inlineStr"/>
      <c r="E16" s="4" t="inlineStr"/>
      <c r="F16" s="4" t="inlineStr"/>
      <c r="G16" s="4">
        <f>IF(AND(E16&lt;&gt;"",F16&lt;&gt;""),E16-F16,"")</f>
        <v/>
      </c>
      <c r="H16" s="3">
        <f>IF(G16="","",IF(ABS(G16)&lt;0.01,"一致","待核"))</f>
        <v/>
      </c>
      <c r="I16" s="3" t="inlineStr"/>
      <c r="J16" s="3" t="inlineStr"/>
      <c r="K16" s="3" t="inlineStr"/>
      <c r="L16" s="3" t="inlineStr"/>
    </row>
    <row r="17">
      <c r="A17" s="3" t="n">
        <v>15</v>
      </c>
      <c r="B17" s="3" t="inlineStr"/>
      <c r="C17" s="3" t="inlineStr"/>
      <c r="D17" s="3" t="inlineStr"/>
      <c r="E17" s="4" t="inlineStr"/>
      <c r="F17" s="4" t="inlineStr"/>
      <c r="G17" s="4">
        <f>IF(AND(E17&lt;&gt;"",F17&lt;&gt;""),E17-F17,"")</f>
        <v/>
      </c>
      <c r="H17" s="3">
        <f>IF(G17="","",IF(ABS(G17)&lt;0.01,"一致","待核"))</f>
        <v/>
      </c>
      <c r="I17" s="3" t="inlineStr"/>
      <c r="J17" s="3" t="inlineStr"/>
      <c r="K17" s="3" t="inlineStr"/>
      <c r="L17" s="3" t="inlineStr"/>
    </row>
    <row r="18">
      <c r="A18" s="5" t="inlineStr">
        <is>
          <t>合计</t>
        </is>
      </c>
      <c r="B18" s="6" t="n"/>
      <c r="C18" s="6" t="n"/>
      <c r="D18" s="5" t="inlineStr">
        <is>
          <t>发票总额</t>
        </is>
      </c>
      <c r="E18" s="7">
        <f>SUM(E3:E17)</f>
        <v/>
      </c>
      <c r="F18" s="7">
        <f>SUM(F3:F17)</f>
        <v/>
      </c>
      <c r="G18" s="6" t="n"/>
      <c r="H18" s="5">
        <f>IF(ABS(E18-F18)&lt;0.01,"总账相符","总账不符")</f>
        <v/>
      </c>
      <c r="I18" s="6" t="n"/>
      <c r="J18" s="6" t="n"/>
      <c r="K18" s="6" t="n"/>
      <c r="L18" s="6" t="n"/>
    </row>
  </sheetData>
  <mergeCells count="1">
    <mergeCell ref="A1:L1"/>
  </mergeCells>
  <dataValidations count="1">
    <dataValidation sqref="D3:D17" showDropDown="0" showInputMessage="0" showErrorMessage="0" allowBlank="1" type="list">
      <formula1>"增值税专用发票,增值税普通发票,电子普通发票,电子专用发票,其他票据"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技术部报销 · 填表说明（凡哥 10-19 会定的口径）</t>
        </is>
      </c>
    </row>
    <row r="2">
      <c r="A2" s="9" t="inlineStr"/>
    </row>
    <row r="3">
      <c r="A3" s="9" t="inlineStr">
        <is>
          <t>1. 一句话口径：一张发票配一张付款凭证，金额对得上就行，不要求逐条明细。</t>
        </is>
      </c>
    </row>
    <row r="4">
      <c r="A4" s="9" t="inlineStr">
        <is>
          <t>2. 可以只列总额，不拆细项。财务看的是「票和钱对得上」。</t>
        </is>
      </c>
    </row>
    <row r="5">
      <c r="A5" s="9" t="inlineStr">
        <is>
          <t>3. 发票类型（专票／普票／电子票）按金额去问财务——金额定了才知道该开哪种；问不到就先空着，别自己猜。</t>
        </is>
      </c>
    </row>
    <row r="6">
      <c r="A6" s="9" t="inlineStr">
        <is>
          <t>4. AI／token／API 这类费用，各人自己问自己的服务商（谁用谁问），不要笼统去问，对方也答不上。</t>
        </is>
      </c>
    </row>
    <row r="7">
      <c r="A7" s="9" t="inlineStr">
        <is>
          <t>5. 差额不为 0 很正常（手续费、汇率、分次付）。差额那栏自动算，不一致就在「备注」写一句原因。</t>
        </is>
      </c>
    </row>
    <row r="8">
      <c r="A8" s="9" t="inlineStr">
        <is>
          <t>6. 文件名统一：日期_人名_用途，例：20261010_何锦波_H3接口费.pdf；发票和付款凭证两个文件都要有。</t>
        </is>
      </c>
    </row>
    <row r="9">
      <c r="A9" s="9" t="inlineStr">
        <is>
          <t>7. 抬头固定：诺境科创（海南）有限公司　统一社会信用代码 91460000MAETMU393D</t>
        </is>
      </c>
    </row>
    <row r="10">
      <c r="A10" s="9" t="inlineStr">
        <is>
          <t>8. 交法：每月最后一个工作日前，把表 + 所有发票和付款凭证文件一起发群里／发给凡哥，一并发给小南归档。</t>
        </is>
      </c>
    </row>
    <row r="11">
      <c r="A11" s="9" t="inlineStr"/>
    </row>
    <row r="12">
      <c r="A12" s="9" t="inlineStr">
        <is>
          <t>表内说明：</t>
        </is>
      </c>
    </row>
    <row r="13">
      <c r="A13" s="9" t="inlineStr">
        <is>
          <t>· E 列填发票上的金额，F 列填实际付款金额，G、H 两列是公式，别改。</t>
        </is>
      </c>
    </row>
    <row r="14">
      <c r="A14" s="9" t="inlineStr">
        <is>
          <t>· D 列是下拉框，选不到就选「其他票据」，在备注写清是什么票。</t>
        </is>
      </c>
    </row>
    <row r="15">
      <c r="A15" s="9" t="inlineStr">
        <is>
          <t>· 序号列不够用就往下插行，公式会自动延伸；插完记得看合计行有没有把新行算进去。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2026-10-25T05:12:09Z</dcterms:created>
  <dcterms:modified xmlns:dcterms="http://purl.org/dc/terms/" xmlns:xsi="http://www.w3.org/2001/XMLSchema-instance" xsi:type="dcterms:W3CDTF">2026-10-25T05:12:09Z</dcterms:modified>
</cp:coreProperties>
</file>